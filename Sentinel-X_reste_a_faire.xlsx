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e à faire" sheetId="1" state="visible" r:id="rId3"/>
    <sheet name="Synthèse" sheetId="2" state="visible" r:id="rId4"/>
  </sheets>
  <definedNames>
    <definedName function="false" hidden="true" localSheetId="0" name="_xlnm._FilterDatabase" vbProcedure="false">'Reste à faire'!$A$4:$I$20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Répartition proposée par Claude ; remplacez par les prénoms.</t>
        </r>
      </text>
    </comment>
  </commentList>
</comments>
</file>

<file path=xl/sharedStrings.xml><?xml version="1.0" encoding="utf-8"?>
<sst xmlns="http://schemas.openxmlformats.org/spreadsheetml/2006/main" count="120" uniqueCount="72">
  <si>
    <t xml:space="preserve">Sentinel-X G1 — Reste à faire</t>
  </si>
  <si>
    <t xml:space="preserve">Mis à jour le 7 octobre 2026 · À remplir : colonnes Responsable, Statut et Notes (fond jaune). Statut = liste déroulante.</t>
  </si>
  <si>
    <t xml:space="preserve">#</t>
  </si>
  <si>
    <t xml:space="preserve">Priorité</t>
  </si>
  <si>
    <t xml:space="preserve">Échéance</t>
  </si>
  <si>
    <t xml:space="preserve">Brique</t>
  </si>
  <si>
    <t xml:space="preserve">Tâche</t>
  </si>
  <si>
    <t xml:space="preserve">Détail</t>
  </si>
  <si>
    <t xml:space="preserve">Responsable</t>
  </si>
  <si>
    <t xml:space="preserve">Statut</t>
  </si>
  <si>
    <t xml:space="preserve">Notes</t>
  </si>
  <si>
    <t xml:space="preserve">Bloquant</t>
  </si>
  <si>
    <t xml:space="preserve">ESP</t>
  </si>
  <si>
    <t xml:space="preserve">Vraies lectures capteurs</t>
  </si>
  <si>
    <t xml:space="preserve">Remplacer les valeurs en dur par DHT22 (D5), MQ-2 (A0), PIR (D6) ; envoi toutes les 2 s au lieu de 50 s ; supprimer le delay() de la LED</t>
  </si>
  <si>
    <t xml:space="preserve">Matériel + ESP</t>
  </si>
  <si>
    <t xml:space="preserve">À faire</t>
  </si>
  <si>
    <t xml:space="preserve">Finir le câblage + OLED</t>
  </si>
  <si>
    <t xml:space="preserve">Câbler DHT22, buzzer, MQ-2 (OLED fait, PIR en test) ; affichage OLED dans le firmware</t>
  </si>
  <si>
    <t xml:space="preserve">Réseau</t>
  </si>
  <si>
    <t xml:space="preserve">Un seul point d'accès</t>
  </si>
  <si>
    <t xml:space="preserve">Choisir hotspot du PC (SENTINEL-DORA) OU iPhone ; mettre la bonne IP du broker dans l'ESP (le code vise 172.20.10.4)</t>
  </si>
  <si>
    <t xml:space="preserve">IA vision</t>
  </si>
  <si>
    <t xml:space="preserve">YOLOv8n dans ai/app/main.py</t>
  </si>
  <si>
    <t xml:space="preserve">Compter les personnes, renvoyer les cadres et le temps de calcul (&lt; 100 ms) ; caméra en 640×480</t>
  </si>
  <si>
    <t xml:space="preserve">IA</t>
  </si>
  <si>
    <t xml:space="preserve">Backend</t>
  </si>
  <si>
    <t xml:space="preserve">Alertes</t>
  </si>
  <si>
    <t xml:space="preserve">Table alerts + POST /api/alerts + diffusion WebSocket au dashboard</t>
  </si>
  <si>
    <t xml:space="preserve">Backend + dashboard</t>
  </si>
  <si>
    <t xml:space="preserve">Obligatoire</t>
  </si>
  <si>
    <t xml:space="preserve">IA anomalies</t>
  </si>
  <si>
    <t xml:space="preserve">Isolation Forest</t>
  </si>
  <si>
    <t xml:space="preserve">Service qui écoute la télémétrie MQTT, entraîne sur des données normales, envoie une alerte ANOMALY (pas de seuil fixe)</t>
  </si>
  <si>
    <t xml:space="preserve">Backend + ESP</t>
  </si>
  <si>
    <t xml:space="preserve">Commandes buzzer / LED</t>
  </si>
  <si>
    <t xml:space="preserve">Route API → MQTT sentinel/esp8266/cmd → l'ESP exécute</t>
  </si>
  <si>
    <t xml:space="preserve">Dashboard</t>
  </si>
  <si>
    <t xml:space="preserve">Compléter le dashboard</t>
  </si>
  <si>
    <t xml:space="preserve">Flux vidéo avec cadres, liste des alertes, boutons buzzer/LED, statut en ligne / en alerte / hors ligne</t>
  </si>
  <si>
    <t xml:space="preserve">Cyber</t>
  </si>
  <si>
    <t xml:space="preserve">Chiffrement</t>
  </si>
  <si>
    <t xml:space="preserve">Mosquitto en TLS sur 8883, un compte par client, allow_anonymous false ; dashboard en HTTPS (nginx)</t>
  </si>
  <si>
    <t xml:space="preserve">Cyber + infra</t>
  </si>
  <si>
    <t xml:space="preserve">Pare-feu + secrets</t>
  </si>
  <si>
    <t xml:space="preserve">Pare-feu Windows : fermer 5432, 8080, 1883 ; retirer la clé JWT réelle de .env.example</t>
  </si>
  <si>
    <t xml:space="preserve">Infra</t>
  </si>
  <si>
    <t xml:space="preserve">Supervision CPU / RAM</t>
  </si>
  <si>
    <t xml:space="preserve">node-exporter ou cAdvisor dans Prometheus + tableau Grafana ; ajouter /metrics au backend ou retirer la cible</t>
  </si>
  <si>
    <t xml:space="preserve">Livrable</t>
  </si>
  <si>
    <t xml:space="preserve">Fablab</t>
  </si>
  <si>
    <t xml:space="preserve">Boîtier</t>
  </si>
  <si>
    <t xml:space="preserve">Découpe ou impression, puis montage</t>
  </si>
  <si>
    <t xml:space="preserve">Audit offensif + rapport</t>
  </si>
  <si>
    <t xml:space="preserve">Nmap, Wireshark le jeudi ; rédiger le rapport de sécurité</t>
  </si>
  <si>
    <t xml:space="preserve">Communication</t>
  </si>
  <si>
    <t xml:space="preserve">Vidéo 60 s</t>
  </si>
  <si>
    <t xml:space="preserve">Tournage et montage</t>
  </si>
  <si>
    <t xml:space="preserve">Toute l'équipe</t>
  </si>
  <si>
    <t xml:space="preserve">Dossier</t>
  </si>
  <si>
    <t xml:space="preserve">Dossier PDF</t>
  </si>
  <si>
    <t xml:space="preserve">Architecture, schéma électrique (fait), choix techniques, résultats R-01 à R-11</t>
  </si>
  <si>
    <t xml:space="preserve">Démo</t>
  </si>
  <si>
    <t xml:space="preserve">Répétition</t>
  </si>
  <si>
    <t xml:space="preserve">Passer chaque test de recette au moins une fois</t>
  </si>
  <si>
    <t xml:space="preserve">Avancement</t>
  </si>
  <si>
    <t xml:space="preserve">Total</t>
  </si>
  <si>
    <t xml:space="preserve">Fait</t>
  </si>
  <si>
    <t xml:space="preserve">En cours</t>
  </si>
  <si>
    <t xml:space="preserve">Bloqué</t>
  </si>
  <si>
    <t xml:space="preserve">% fait</t>
  </si>
  <si>
    <t xml:space="preserve">Calculé à partir de la colonne Statut de l'onglet « Reste à faire 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</si>
</sst>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dd/mm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0"/>
      <color rgb="FF2F5597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808080"/>
      </font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60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n">
        <v>1</v>
      </c>
      <c r="B5" s="5" t="s">
        <v>11</v>
      </c>
      <c r="C5" s="6" t="n">
        <v>46302</v>
      </c>
      <c r="D5" s="4" t="s">
        <v>12</v>
      </c>
      <c r="E5" s="7" t="s">
        <v>13</v>
      </c>
      <c r="F5" s="4" t="s">
        <v>14</v>
      </c>
      <c r="G5" s="8" t="s">
        <v>15</v>
      </c>
      <c r="H5" s="8" t="s">
        <v>16</v>
      </c>
      <c r="I5" s="8"/>
    </row>
    <row r="6" customFormat="false" ht="23.85" hidden="false" customHeight="false" outlineLevel="0" collapsed="false">
      <c r="A6" s="4" t="n">
        <v>2</v>
      </c>
      <c r="B6" s="5" t="s">
        <v>11</v>
      </c>
      <c r="C6" s="6" t="n">
        <v>46302</v>
      </c>
      <c r="D6" s="4" t="s">
        <v>12</v>
      </c>
      <c r="E6" s="7" t="s">
        <v>17</v>
      </c>
      <c r="F6" s="4" t="s">
        <v>18</v>
      </c>
      <c r="G6" s="8" t="s">
        <v>15</v>
      </c>
      <c r="H6" s="8" t="s">
        <v>16</v>
      </c>
      <c r="I6" s="8"/>
    </row>
    <row r="7" customFormat="false" ht="23.85" hidden="false" customHeight="false" outlineLevel="0" collapsed="false">
      <c r="A7" s="4" t="n">
        <v>3</v>
      </c>
      <c r="B7" s="5" t="s">
        <v>11</v>
      </c>
      <c r="C7" s="6" t="n">
        <v>46302</v>
      </c>
      <c r="D7" s="4" t="s">
        <v>19</v>
      </c>
      <c r="E7" s="7" t="s">
        <v>20</v>
      </c>
      <c r="F7" s="4" t="s">
        <v>21</v>
      </c>
      <c r="G7" s="8" t="s">
        <v>15</v>
      </c>
      <c r="H7" s="8" t="s">
        <v>16</v>
      </c>
      <c r="I7" s="8"/>
    </row>
    <row r="8" customFormat="false" ht="23.85" hidden="false" customHeight="false" outlineLevel="0" collapsed="false">
      <c r="A8" s="4" t="n">
        <v>4</v>
      </c>
      <c r="B8" s="5" t="s">
        <v>11</v>
      </c>
      <c r="C8" s="6" t="n">
        <v>46302</v>
      </c>
      <c r="D8" s="4" t="s">
        <v>22</v>
      </c>
      <c r="E8" s="7" t="s">
        <v>23</v>
      </c>
      <c r="F8" s="4" t="s">
        <v>24</v>
      </c>
      <c r="G8" s="8" t="s">
        <v>25</v>
      </c>
      <c r="H8" s="8" t="s">
        <v>16</v>
      </c>
      <c r="I8" s="8"/>
    </row>
    <row r="9" customFormat="false" ht="15" hidden="false" customHeight="false" outlineLevel="0" collapsed="false">
      <c r="A9" s="4" t="n">
        <v>5</v>
      </c>
      <c r="B9" s="5" t="s">
        <v>11</v>
      </c>
      <c r="C9" s="6" t="n">
        <v>46302</v>
      </c>
      <c r="D9" s="4" t="s">
        <v>26</v>
      </c>
      <c r="E9" s="7" t="s">
        <v>27</v>
      </c>
      <c r="F9" s="4" t="s">
        <v>28</v>
      </c>
      <c r="G9" s="8" t="s">
        <v>29</v>
      </c>
      <c r="H9" s="8" t="s">
        <v>16</v>
      </c>
      <c r="I9" s="8"/>
    </row>
    <row r="10" customFormat="false" ht="23.85" hidden="false" customHeight="false" outlineLevel="0" collapsed="false">
      <c r="A10" s="4" t="n">
        <v>6</v>
      </c>
      <c r="B10" s="9" t="s">
        <v>30</v>
      </c>
      <c r="C10" s="6" t="n">
        <v>46303</v>
      </c>
      <c r="D10" s="4" t="s">
        <v>31</v>
      </c>
      <c r="E10" s="7" t="s">
        <v>32</v>
      </c>
      <c r="F10" s="4" t="s">
        <v>33</v>
      </c>
      <c r="G10" s="8" t="s">
        <v>25</v>
      </c>
      <c r="H10" s="8" t="s">
        <v>16</v>
      </c>
      <c r="I10" s="8"/>
    </row>
    <row r="11" customFormat="false" ht="15" hidden="false" customHeight="false" outlineLevel="0" collapsed="false">
      <c r="A11" s="4" t="n">
        <v>7</v>
      </c>
      <c r="B11" s="9" t="s">
        <v>30</v>
      </c>
      <c r="C11" s="6" t="n">
        <v>46303</v>
      </c>
      <c r="D11" s="4" t="s">
        <v>34</v>
      </c>
      <c r="E11" s="7" t="s">
        <v>35</v>
      </c>
      <c r="F11" s="4" t="s">
        <v>36</v>
      </c>
      <c r="G11" s="8" t="s">
        <v>34</v>
      </c>
      <c r="H11" s="8" t="s">
        <v>16</v>
      </c>
      <c r="I11" s="8"/>
    </row>
    <row r="12" customFormat="false" ht="23.85" hidden="false" customHeight="false" outlineLevel="0" collapsed="false">
      <c r="A12" s="4" t="n">
        <v>8</v>
      </c>
      <c r="B12" s="9" t="s">
        <v>30</v>
      </c>
      <c r="C12" s="6" t="n">
        <v>46303</v>
      </c>
      <c r="D12" s="4" t="s">
        <v>37</v>
      </c>
      <c r="E12" s="7" t="s">
        <v>38</v>
      </c>
      <c r="F12" s="4" t="s">
        <v>39</v>
      </c>
      <c r="G12" s="8" t="s">
        <v>29</v>
      </c>
      <c r="H12" s="8" t="s">
        <v>16</v>
      </c>
      <c r="I12" s="8"/>
    </row>
    <row r="13" customFormat="false" ht="23.85" hidden="false" customHeight="false" outlineLevel="0" collapsed="false">
      <c r="A13" s="4" t="n">
        <v>9</v>
      </c>
      <c r="B13" s="9" t="s">
        <v>30</v>
      </c>
      <c r="C13" s="6" t="n">
        <v>46303</v>
      </c>
      <c r="D13" s="4" t="s">
        <v>40</v>
      </c>
      <c r="E13" s="7" t="s">
        <v>41</v>
      </c>
      <c r="F13" s="4" t="s">
        <v>42</v>
      </c>
      <c r="G13" s="8" t="s">
        <v>43</v>
      </c>
      <c r="H13" s="8" t="s">
        <v>16</v>
      </c>
      <c r="I13" s="8"/>
    </row>
    <row r="14" customFormat="false" ht="23.85" hidden="false" customHeight="false" outlineLevel="0" collapsed="false">
      <c r="A14" s="4" t="n">
        <v>10</v>
      </c>
      <c r="B14" s="9" t="s">
        <v>30</v>
      </c>
      <c r="C14" s="6" t="n">
        <v>46303</v>
      </c>
      <c r="D14" s="4" t="s">
        <v>40</v>
      </c>
      <c r="E14" s="7" t="s">
        <v>44</v>
      </c>
      <c r="F14" s="4" t="s">
        <v>45</v>
      </c>
      <c r="G14" s="8" t="s">
        <v>43</v>
      </c>
      <c r="H14" s="8" t="s">
        <v>16</v>
      </c>
      <c r="I14" s="8"/>
    </row>
    <row r="15" customFormat="false" ht="23.85" hidden="false" customHeight="false" outlineLevel="0" collapsed="false">
      <c r="A15" s="4" t="n">
        <v>11</v>
      </c>
      <c r="B15" s="9" t="s">
        <v>30</v>
      </c>
      <c r="C15" s="6" t="n">
        <v>46303</v>
      </c>
      <c r="D15" s="4" t="s">
        <v>46</v>
      </c>
      <c r="E15" s="7" t="s">
        <v>47</v>
      </c>
      <c r="F15" s="4" t="s">
        <v>48</v>
      </c>
      <c r="G15" s="8" t="s">
        <v>43</v>
      </c>
      <c r="H15" s="8" t="s">
        <v>16</v>
      </c>
      <c r="I15" s="8"/>
    </row>
    <row r="16" customFormat="false" ht="15" hidden="false" customHeight="false" outlineLevel="0" collapsed="false">
      <c r="A16" s="4" t="n">
        <v>12</v>
      </c>
      <c r="B16" s="10" t="s">
        <v>49</v>
      </c>
      <c r="C16" s="6" t="n">
        <v>46304</v>
      </c>
      <c r="D16" s="4" t="s">
        <v>50</v>
      </c>
      <c r="E16" s="7" t="s">
        <v>51</v>
      </c>
      <c r="F16" s="4" t="s">
        <v>52</v>
      </c>
      <c r="G16" s="8" t="s">
        <v>15</v>
      </c>
      <c r="H16" s="8" t="s">
        <v>16</v>
      </c>
      <c r="I16" s="8"/>
    </row>
    <row r="17" customFormat="false" ht="15" hidden="false" customHeight="false" outlineLevel="0" collapsed="false">
      <c r="A17" s="4" t="n">
        <v>13</v>
      </c>
      <c r="B17" s="10" t="s">
        <v>49</v>
      </c>
      <c r="C17" s="6" t="n">
        <v>46303</v>
      </c>
      <c r="D17" s="4" t="s">
        <v>40</v>
      </c>
      <c r="E17" s="7" t="s">
        <v>53</v>
      </c>
      <c r="F17" s="4" t="s">
        <v>54</v>
      </c>
      <c r="G17" s="8" t="s">
        <v>43</v>
      </c>
      <c r="H17" s="8" t="s">
        <v>16</v>
      </c>
      <c r="I17" s="8"/>
    </row>
    <row r="18" customFormat="false" ht="15" hidden="false" customHeight="false" outlineLevel="0" collapsed="false">
      <c r="A18" s="4" t="n">
        <v>14</v>
      </c>
      <c r="B18" s="10" t="s">
        <v>49</v>
      </c>
      <c r="C18" s="6" t="n">
        <v>46304</v>
      </c>
      <c r="D18" s="4" t="s">
        <v>55</v>
      </c>
      <c r="E18" s="7" t="s">
        <v>56</v>
      </c>
      <c r="F18" s="4" t="s">
        <v>57</v>
      </c>
      <c r="G18" s="8" t="s">
        <v>58</v>
      </c>
      <c r="H18" s="8" t="s">
        <v>16</v>
      </c>
      <c r="I18" s="8"/>
    </row>
    <row r="19" customFormat="false" ht="23.85" hidden="false" customHeight="false" outlineLevel="0" collapsed="false">
      <c r="A19" s="4" t="n">
        <v>15</v>
      </c>
      <c r="B19" s="10" t="s">
        <v>49</v>
      </c>
      <c r="C19" s="6" t="n">
        <v>46304</v>
      </c>
      <c r="D19" s="4" t="s">
        <v>59</v>
      </c>
      <c r="E19" s="7" t="s">
        <v>60</v>
      </c>
      <c r="F19" s="4" t="s">
        <v>61</v>
      </c>
      <c r="G19" s="8" t="s">
        <v>58</v>
      </c>
      <c r="H19" s="8" t="s">
        <v>16</v>
      </c>
      <c r="I19" s="8"/>
    </row>
    <row r="20" customFormat="false" ht="15" hidden="false" customHeight="false" outlineLevel="0" collapsed="false">
      <c r="A20" s="4" t="n">
        <v>16</v>
      </c>
      <c r="B20" s="10" t="s">
        <v>49</v>
      </c>
      <c r="C20" s="6" t="n">
        <v>46304</v>
      </c>
      <c r="D20" s="4" t="s">
        <v>62</v>
      </c>
      <c r="E20" s="7" t="s">
        <v>63</v>
      </c>
      <c r="F20" s="4" t="s">
        <v>64</v>
      </c>
      <c r="G20" s="8" t="s">
        <v>58</v>
      </c>
      <c r="H20" s="8" t="s">
        <v>16</v>
      </c>
      <c r="I20" s="8"/>
    </row>
  </sheetData>
  <autoFilter ref="A4:I20"/>
  <conditionalFormatting sqref="A5:I20">
    <cfRule type="expression" priority="2" aboveAverage="0" equalAverage="0" bottom="0" percent="0" rank="0" text="" dxfId="9">
      <formula>$H5="Fait"</formula>
    </cfRule>
    <cfRule type="expression" priority="3" aboveAverage="0" equalAverage="0" bottom="0" percent="0" rank="0" text="" dxfId="10">
      <formula>$H5="Bloqué"</formula>
    </cfRule>
    <cfRule type="expression" priority="4" aboveAverage="0" equalAverage="0" bottom="0" percent="0" rank="0" text="" dxfId="11">
      <formula>$H5="En cours"</formula>
    </cfRule>
  </conditionalFormatting>
  <dataValidations count="1">
    <dataValidation allowBlank="false" errorStyle="stop" operator="between" showDropDown="false" showErrorMessage="false" showInputMessage="false" sqref="H5:H20" type="list">
      <formula1>"À faire,En cours,Fait,Bloqué"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7" min="5" style="0" width="9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11" t="s">
        <v>3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16</v>
      </c>
      <c r="G3" s="11" t="s">
        <v>70</v>
      </c>
    </row>
    <row r="4" customFormat="false" ht="15" hidden="false" customHeight="false" outlineLevel="0" collapsed="false">
      <c r="A4" s="12" t="s">
        <v>11</v>
      </c>
      <c r="B4" s="12" t="n">
        <f aca="false">COUNTIF('Reste à faire'!$B$5:$B$20,A4)</f>
        <v>5</v>
      </c>
      <c r="C4" s="12" t="n">
        <f aca="false">COUNTIFS('Reste à faire'!$B$5:$B$20,$A4,'Reste à faire'!$H$5:$H$20,"Fait")</f>
        <v>0</v>
      </c>
      <c r="D4" s="12" t="n">
        <f aca="false">COUNTIFS('Reste à faire'!$B$5:$B$20,$A4,'Reste à faire'!$H$5:$H$20,"En cours")</f>
        <v>0</v>
      </c>
      <c r="E4" s="12" t="n">
        <f aca="false">COUNTIFS('Reste à faire'!$B$5:$B$20,$A4,'Reste à faire'!$H$5:$H$20,"Bloqué")</f>
        <v>0</v>
      </c>
      <c r="F4" s="12" t="n">
        <f aca="false">COUNTIFS('Reste à faire'!$B$5:$B$20,$A4,'Reste à faire'!$H$5:$H$20,"À faire")</f>
        <v>5</v>
      </c>
      <c r="G4" s="13" t="n">
        <f aca="false">IF(B4=0,0,C4/B4)</f>
        <v>0</v>
      </c>
    </row>
    <row r="5" customFormat="false" ht="15" hidden="false" customHeight="false" outlineLevel="0" collapsed="false">
      <c r="A5" s="12" t="s">
        <v>30</v>
      </c>
      <c r="B5" s="12" t="n">
        <f aca="false">COUNTIF('Reste à faire'!$B$5:$B$20,A5)</f>
        <v>6</v>
      </c>
      <c r="C5" s="12" t="n">
        <f aca="false">COUNTIFS('Reste à faire'!$B$5:$B$20,$A5,'Reste à faire'!$H$5:$H$20,"Fait")</f>
        <v>0</v>
      </c>
      <c r="D5" s="12" t="n">
        <f aca="false">COUNTIFS('Reste à faire'!$B$5:$B$20,$A5,'Reste à faire'!$H$5:$H$20,"En cours")</f>
        <v>0</v>
      </c>
      <c r="E5" s="12" t="n">
        <f aca="false">COUNTIFS('Reste à faire'!$B$5:$B$20,$A5,'Reste à faire'!$H$5:$H$20,"Bloqué")</f>
        <v>0</v>
      </c>
      <c r="F5" s="12" t="n">
        <f aca="false">COUNTIFS('Reste à faire'!$B$5:$B$20,$A5,'Reste à faire'!$H$5:$H$20,"À faire")</f>
        <v>6</v>
      </c>
      <c r="G5" s="13" t="n">
        <f aca="false">IF(B5=0,0,C5/B5)</f>
        <v>0</v>
      </c>
    </row>
    <row r="6" customFormat="false" ht="15" hidden="false" customHeight="false" outlineLevel="0" collapsed="false">
      <c r="A6" s="12" t="s">
        <v>49</v>
      </c>
      <c r="B6" s="12" t="n">
        <f aca="false">COUNTIF('Reste à faire'!$B$5:$B$20,A6)</f>
        <v>5</v>
      </c>
      <c r="C6" s="12" t="n">
        <f aca="false">COUNTIFS('Reste à faire'!$B$5:$B$20,$A6,'Reste à faire'!$H$5:$H$20,"Fait")</f>
        <v>0</v>
      </c>
      <c r="D6" s="12" t="n">
        <f aca="false">COUNTIFS('Reste à faire'!$B$5:$B$20,$A6,'Reste à faire'!$H$5:$H$20,"En cours")</f>
        <v>0</v>
      </c>
      <c r="E6" s="12" t="n">
        <f aca="false">COUNTIFS('Reste à faire'!$B$5:$B$20,$A6,'Reste à faire'!$H$5:$H$20,"Bloqué")</f>
        <v>0</v>
      </c>
      <c r="F6" s="12" t="n">
        <f aca="false">COUNTIFS('Reste à faire'!$B$5:$B$20,$A6,'Reste à faire'!$H$5:$H$20,"À faire")</f>
        <v>5</v>
      </c>
      <c r="G6" s="13" t="n">
        <f aca="false">IF(B6=0,0,C6/B6)</f>
        <v>0</v>
      </c>
    </row>
    <row r="7" customFormat="false" ht="15" hidden="false" customHeight="false" outlineLevel="0" collapsed="false">
      <c r="A7" s="14" t="s">
        <v>66</v>
      </c>
      <c r="B7" s="14" t="n">
        <f aca="false">SUM(B4:B6)</f>
        <v>16</v>
      </c>
      <c r="C7" s="14" t="n">
        <f aca="false">SUM(C4:C6)</f>
        <v>0</v>
      </c>
      <c r="D7" s="14" t="n">
        <f aca="false">SUM(D4:D6)</f>
        <v>0</v>
      </c>
      <c r="E7" s="14" t="n">
        <f aca="false">SUM(E4:E6)</f>
        <v>0</v>
      </c>
      <c r="F7" s="14" t="n">
        <f aca="false">SUM(F4:F6)</f>
        <v>16</v>
      </c>
      <c r="G7" s="15" t="n">
        <f aca="false">IF(B7=0,0,C7/B7)</f>
        <v>0</v>
      </c>
    </row>
    <row r="9" customFormat="false" ht="15" hidden="false" customHeight="false" outlineLevel="0" collapsed="false">
      <c r="A9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2026-10-07T12:20:58Z</dcterms:created>
  <dc:creator>openpyxl</dc:creator>
  <dc:description/>
  <dc:language>en-US</dc:language>
  <cp:lastModifiedBy/>
  <dcterms:modified xsi:type="dcterms:W3CDTF">2026-10-07T12:20:58Z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